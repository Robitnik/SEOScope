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Month Data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Import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0409]#,##0"/>
    <numFmt numFmtId="165" formatCode="[$-0409]0.0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5E47"/>
      </patternFill>
    </fill>
    <fill>
      <patternFill patternType="solid">
        <fgColor rgb="00F4F9F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0" fillId="3" borderId="0" applyAlignment="1" pivotButton="0" quotePrefix="0" xfId="0">
      <alignment horizontal="right"/>
    </xf>
    <xf numFmtId="165" fontId="0" fillId="3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4" fillId="4" borderId="0" pivotButton="0" quotePrefix="0" xfId="0"/>
    <xf numFmtId="164" fontId="0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SAPPHIRE NEW YORK</t>
        </is>
      </c>
    </row>
    <row r="2" ht="18" customHeight="1">
      <c r="A2" s="2" t="inlineStr">
        <is>
          <t>Metric</t>
        </is>
      </c>
      <c r="B2" s="3" t="inlineStr">
        <is>
          <t>This Month</t>
        </is>
      </c>
      <c r="C2" s="3" t="inlineStr">
        <is>
          <t>Last Month</t>
        </is>
      </c>
      <c r="D2" s="3" t="inlineStr">
        <is>
          <t>Month YOY</t>
        </is>
      </c>
      <c r="E2" s="3" t="inlineStr">
        <is>
          <t>This Quarter</t>
        </is>
      </c>
      <c r="F2" s="3" t="inlineStr">
        <is>
          <t>Last Quarter</t>
        </is>
      </c>
      <c r="G2" s="3" t="inlineStr">
        <is>
          <t>Quarterly YOY</t>
        </is>
      </c>
      <c r="H2" s="3" t="inlineStr">
        <is>
          <t>% M/M</t>
        </is>
      </c>
      <c r="I2" s="3" t="inlineStr">
        <is>
          <t>% Q/Q</t>
        </is>
      </c>
      <c r="J2" s="3" t="inlineStr">
        <is>
          <t>% M YOY</t>
        </is>
      </c>
      <c r="K2" s="3" t="inlineStr">
        <is>
          <t>% Q YOY</t>
        </is>
      </c>
    </row>
    <row r="3">
      <c r="A3" s="4" t="inlineStr">
        <is>
          <t>Users</t>
        </is>
      </c>
      <c r="B3" s="5" t="n">
        <v>58413</v>
      </c>
      <c r="C3" s="5" t="n">
        <v>68718</v>
      </c>
      <c r="D3" s="5" t="n">
        <v>25463</v>
      </c>
      <c r="E3" s="5" t="n">
        <v>185513</v>
      </c>
      <c r="F3" s="5" t="n">
        <v>167433</v>
      </c>
      <c r="G3" s="5" t="n">
        <v>70139</v>
      </c>
      <c r="H3" s="6">
        <f>IFERROR((B3-C3)/C3,"")</f>
        <v/>
      </c>
      <c r="I3" s="6">
        <f>IFERROR((E3-F3)/F3,"")</f>
        <v/>
      </c>
      <c r="J3" s="6">
        <f>IFERROR((B3-D3)/D3,"")</f>
        <v/>
      </c>
      <c r="K3" s="6">
        <f>IFERROR((E3-G3)/G3,"")</f>
        <v/>
      </c>
    </row>
    <row r="4">
      <c r="A4" s="7" t="inlineStr">
        <is>
          <t>Organic Users</t>
        </is>
      </c>
      <c r="B4" s="8" t="n">
        <v>6510</v>
      </c>
      <c r="C4" s="8" t="n">
        <v>7141</v>
      </c>
      <c r="D4" s="8" t="n">
        <v>7936</v>
      </c>
      <c r="E4" s="8" t="n">
        <v>19306</v>
      </c>
      <c r="F4" s="8" t="n">
        <v>17394</v>
      </c>
      <c r="G4" s="8" t="n">
        <v>21153</v>
      </c>
      <c r="H4" s="9">
        <f>IFERROR((B4-C4)/C4,"")</f>
        <v/>
      </c>
      <c r="I4" s="9">
        <f>IFERROR((E4-F4)/F4,"")</f>
        <v/>
      </c>
      <c r="J4" s="9">
        <f>IFERROR((B4-D4)/D4,"")</f>
        <v/>
      </c>
      <c r="K4" s="9">
        <f>IFERROR((E4-G4)/G4,"")</f>
        <v/>
      </c>
    </row>
    <row r="5">
      <c r="A5" s="4" t="inlineStr">
        <is>
          <t>Direct Users</t>
        </is>
      </c>
      <c r="B5" s="5" t="n">
        <v>8658</v>
      </c>
      <c r="C5" s="5" t="n">
        <v>10037</v>
      </c>
      <c r="D5" s="5" t="n">
        <v>9312</v>
      </c>
      <c r="E5" s="5" t="n">
        <v>26048</v>
      </c>
      <c r="F5" s="5" t="n">
        <v>25284</v>
      </c>
      <c r="G5" s="5" t="n">
        <v>25948</v>
      </c>
      <c r="H5" s="6">
        <f>IFERROR((B5-C5)/C5,"")</f>
        <v/>
      </c>
      <c r="I5" s="6">
        <f>IFERROR((E5-F5)/F5,"")</f>
        <v/>
      </c>
      <c r="J5" s="6">
        <f>IFERROR((B5-D5)/D5,"")</f>
        <v/>
      </c>
      <c r="K5" s="6">
        <f>IFERROR((E5-G5)/G5,"")</f>
        <v/>
      </c>
    </row>
    <row r="6">
      <c r="A6" s="7" t="inlineStr">
        <is>
          <t>Total Conversions</t>
        </is>
      </c>
      <c r="B6" s="8" t="n">
        <v>26042</v>
      </c>
      <c r="C6" s="8" t="n">
        <v>26066</v>
      </c>
      <c r="D6" s="8" t="n">
        <v>4163</v>
      </c>
      <c r="E6" s="8" t="n">
        <v>71949</v>
      </c>
      <c r="F6" s="8" t="n">
        <v>54596</v>
      </c>
      <c r="G6" s="8" t="n">
        <v>14908</v>
      </c>
      <c r="H6" s="9">
        <f>IFERROR((B6-C6)/C6,"")</f>
        <v/>
      </c>
      <c r="I6" s="9">
        <f>IFERROR((E6-F6)/F6,"")</f>
        <v/>
      </c>
      <c r="J6" s="9">
        <f>IFERROR((B6-D6)/D6,"")</f>
        <v/>
      </c>
      <c r="K6" s="9">
        <f>IFERROR((E6-G6)/G6,"")</f>
        <v/>
      </c>
    </row>
    <row r="7">
      <c r="A7" s="4" t="inlineStr">
        <is>
          <t>Organic Conversions</t>
        </is>
      </c>
      <c r="B7" s="5" t="n">
        <v>1115</v>
      </c>
      <c r="C7" s="5" t="n">
        <v>1319</v>
      </c>
      <c r="D7" s="5" t="n">
        <v>1251</v>
      </c>
      <c r="E7" s="5" t="n">
        <v>3604</v>
      </c>
      <c r="F7" s="5" t="n">
        <v>3343</v>
      </c>
      <c r="G7" s="5" t="n">
        <v>4833</v>
      </c>
      <c r="H7" s="6">
        <f>IFERROR((B7-C7)/C7,"")</f>
        <v/>
      </c>
      <c r="I7" s="6">
        <f>IFERROR((E7-F7)/F7,"")</f>
        <v/>
      </c>
      <c r="J7" s="6">
        <f>IFERROR((B7-D7)/D7,"")</f>
        <v/>
      </c>
      <c r="K7" s="6">
        <f>IFERROR((E7-G7)/G7,"")</f>
        <v/>
      </c>
    </row>
    <row r="8">
      <c r="A8" s="7" t="inlineStr">
        <is>
          <t>Direct Conversions</t>
        </is>
      </c>
      <c r="B8" s="8" t="n">
        <v>897</v>
      </c>
      <c r="C8" s="8" t="n">
        <v>1046</v>
      </c>
      <c r="D8" s="8" t="n">
        <v>1384</v>
      </c>
      <c r="E8" s="8" t="n">
        <v>2998</v>
      </c>
      <c r="F8" s="8" t="n">
        <v>3177</v>
      </c>
      <c r="G8" s="8" t="n">
        <v>5179</v>
      </c>
      <c r="H8" s="9">
        <f>IFERROR((B8-C8)/C8,"")</f>
        <v/>
      </c>
      <c r="I8" s="9">
        <f>IFERROR((E8-F8)/F8,"")</f>
        <v/>
      </c>
      <c r="J8" s="9">
        <f>IFERROR((B8-D8)/D8,"")</f>
        <v/>
      </c>
      <c r="K8" s="9">
        <f>IFERROR((E8-G8)/G8,"")</f>
        <v/>
      </c>
    </row>
    <row r="9">
      <c r="A9" s="10" t="inlineStr">
        <is>
          <t>Total Users and Conversions</t>
        </is>
      </c>
      <c r="B9" s="11">
        <f>IFERROR(B3+B6,"")</f>
        <v/>
      </c>
      <c r="C9" s="11">
        <f>IFERROR(C3+C6,"")</f>
        <v/>
      </c>
      <c r="D9" s="11">
        <f>IFERROR(D3+D6,"")</f>
        <v/>
      </c>
      <c r="E9" s="11">
        <f>IFERROR(E3+E6,"")</f>
        <v/>
      </c>
      <c r="F9" s="11">
        <f>IFERROR(F3+F6,"")</f>
        <v/>
      </c>
      <c r="G9" s="11">
        <f>IFERROR(G3+G6,"")</f>
        <v/>
      </c>
      <c r="H9" s="12">
        <f>IFERROR((B9-C9)/C9,"")</f>
        <v/>
      </c>
      <c r="I9" s="12">
        <f>IFERROR((E9-F9)/F9,"")</f>
        <v/>
      </c>
      <c r="J9" s="12">
        <f>IFERROR((B9-D9)/D9,"")</f>
        <v/>
      </c>
      <c r="K9" s="12">
        <f>IFERROR((E9-G9)/G9,"")</f>
        <v/>
      </c>
    </row>
    <row r="10">
      <c r="A10" s="7" t="inlineStr">
        <is>
          <t>Clicks</t>
        </is>
      </c>
      <c r="B10" s="8" t="n">
        <v>8598</v>
      </c>
      <c r="C10" s="8" t="n">
        <v>8728</v>
      </c>
      <c r="D10" s="8" t="n">
        <v>9492</v>
      </c>
      <c r="E10" s="8" t="n">
        <v>25219</v>
      </c>
      <c r="F10" s="8" t="n">
        <v>22081</v>
      </c>
      <c r="G10" s="8" t="n">
        <v>26042</v>
      </c>
      <c r="H10" s="9">
        <f>IFERROR((B10-C10)/C10,"")</f>
        <v/>
      </c>
      <c r="I10" s="9">
        <f>IFERROR((E10-F10)/F10,"")</f>
        <v/>
      </c>
      <c r="J10" s="9">
        <f>IFERROR((B10-D10)/D10,"")</f>
        <v/>
      </c>
      <c r="K10" s="9">
        <f>IFERROR((E10-G10)/G10,"")</f>
        <v/>
      </c>
    </row>
    <row r="11">
      <c r="A11" s="4" t="inlineStr">
        <is>
          <t>Impressions</t>
        </is>
      </c>
      <c r="B11" s="5" t="n">
        <v>179118</v>
      </c>
      <c r="C11" s="5" t="n">
        <v>189658</v>
      </c>
      <c r="D11" s="5" t="n">
        <v>249207</v>
      </c>
      <c r="E11" s="5" t="n">
        <v>564859</v>
      </c>
      <c r="F11" s="5" t="n">
        <v>529829</v>
      </c>
      <c r="G11" s="5" t="n">
        <v>679054</v>
      </c>
      <c r="H11" s="6">
        <f>IFERROR((B11-C11)/C11,"")</f>
        <v/>
      </c>
      <c r="I11" s="6">
        <f>IFERROR((E11-F11)/F11,"")</f>
        <v/>
      </c>
      <c r="J11" s="6">
        <f>IFERROR((B11-D11)/D11,"")</f>
        <v/>
      </c>
      <c r="K11" s="6">
        <f>IFERROR((E11-G11)/G11,"")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0" customWidth="1" min="4" max="4"/>
    <col width="20" customWidth="1" min="5" max="5"/>
  </cols>
  <sheetData>
    <row r="1" ht="22" customHeight="1">
      <c r="A1" s="13" t="inlineStr">
        <is>
          <t>SAPPHIRE NEW YORK — Monthly History</t>
        </is>
      </c>
    </row>
    <row r="2" ht="18" customHeight="1">
      <c r="A2" s="14" t="inlineStr">
        <is>
          <t>Date</t>
        </is>
      </c>
      <c r="B2" s="15" t="inlineStr">
        <is>
          <t>Clicks</t>
        </is>
      </c>
      <c r="C2" s="15" t="inlineStr">
        <is>
          <t>Impressions</t>
        </is>
      </c>
      <c r="D2" s="15" t="inlineStr">
        <is>
          <t>CTR</t>
        </is>
      </c>
      <c r="E2" s="15" t="inlineStr">
        <is>
          <t>Organic Conversions</t>
        </is>
      </c>
    </row>
    <row r="3">
      <c r="A3" s="4" t="inlineStr">
        <is>
          <t>Aug 2025</t>
        </is>
      </c>
      <c r="B3" s="5" t="n">
        <v>9492</v>
      </c>
      <c r="C3" s="5" t="n">
        <v>249207</v>
      </c>
      <c r="D3" s="6">
        <f>IFERROR(B3/C3,"")</f>
        <v/>
      </c>
      <c r="E3" s="5" t="n">
        <v>1251</v>
      </c>
    </row>
    <row r="4">
      <c r="A4" s="7" t="inlineStr">
        <is>
          <t>Sep 2025</t>
        </is>
      </c>
      <c r="B4" s="8" t="n">
        <v>9052</v>
      </c>
      <c r="C4" s="8" t="n">
        <v>209030</v>
      </c>
      <c r="D4" s="9">
        <f>IFERROR(B4/C4,"")</f>
        <v/>
      </c>
      <c r="E4" s="8" t="n">
        <v>1854</v>
      </c>
    </row>
    <row r="5">
      <c r="A5" s="4" t="inlineStr">
        <is>
          <t>Oct 2025</t>
        </is>
      </c>
      <c r="B5" s="5" t="n">
        <v>8244</v>
      </c>
      <c r="C5" s="5" t="n">
        <v>179343</v>
      </c>
      <c r="D5" s="6">
        <f>IFERROR(B5/C5,"")</f>
        <v/>
      </c>
      <c r="E5" s="5" t="n">
        <v>1795</v>
      </c>
    </row>
    <row r="6">
      <c r="A6" s="7" t="inlineStr">
        <is>
          <t>Nov 2025</t>
        </is>
      </c>
      <c r="B6" s="8" t="n">
        <v>7823</v>
      </c>
      <c r="C6" s="8" t="n">
        <v>186957</v>
      </c>
      <c r="D6" s="9">
        <f>IFERROR(B6/C6,"")</f>
        <v/>
      </c>
      <c r="E6" s="8" t="n">
        <v>1752</v>
      </c>
    </row>
    <row r="7">
      <c r="A7" s="4" t="inlineStr">
        <is>
          <t>Dec 2025</t>
        </is>
      </c>
      <c r="B7" s="5" t="n">
        <v>7827</v>
      </c>
      <c r="C7" s="5" t="n">
        <v>199837</v>
      </c>
      <c r="D7" s="6">
        <f>IFERROR(B7/C7,"")</f>
        <v/>
      </c>
      <c r="E7" s="5" t="n">
        <v>1926</v>
      </c>
    </row>
    <row r="8">
      <c r="A8" s="7" t="inlineStr">
        <is>
          <t>Jan 2026</t>
        </is>
      </c>
      <c r="B8" s="8" t="n">
        <v>8074</v>
      </c>
      <c r="C8" s="8" t="n">
        <v>202521</v>
      </c>
      <c r="D8" s="9">
        <f>IFERROR(B8/C8,"")</f>
        <v/>
      </c>
      <c r="E8" s="8" t="n">
        <v>1702</v>
      </c>
    </row>
    <row r="9">
      <c r="A9" s="4" t="inlineStr">
        <is>
          <t>Feb 2026</t>
        </is>
      </c>
      <c r="B9" s="5" t="n">
        <v>7119</v>
      </c>
      <c r="C9" s="5" t="n">
        <v>153719</v>
      </c>
      <c r="D9" s="6">
        <f>IFERROR(B9/C9,"")</f>
        <v/>
      </c>
      <c r="E9" s="5" t="n">
        <v>1707</v>
      </c>
    </row>
    <row r="10">
      <c r="A10" s="7" t="inlineStr">
        <is>
          <t>Mar 2026</t>
        </is>
      </c>
      <c r="B10" s="8" t="n">
        <v>6794</v>
      </c>
      <c r="C10" s="8" t="n">
        <v>165142</v>
      </c>
      <c r="D10" s="9">
        <f>IFERROR(B10/C10,"")</f>
        <v/>
      </c>
      <c r="E10" s="8" t="n">
        <v>1296</v>
      </c>
    </row>
    <row r="11">
      <c r="A11" s="4" t="inlineStr">
        <is>
          <t>Apr 2026</t>
        </is>
      </c>
      <c r="B11" s="5" t="n">
        <v>6795</v>
      </c>
      <c r="C11" s="5" t="n">
        <v>167068</v>
      </c>
      <c r="D11" s="6">
        <f>IFERROR(B11/C11,"")</f>
        <v/>
      </c>
      <c r="E11" s="5" t="n">
        <v>869</v>
      </c>
    </row>
    <row r="12">
      <c r="A12" s="7" t="inlineStr">
        <is>
          <t>May 2026</t>
        </is>
      </c>
      <c r="B12" s="8" t="n">
        <v>8492</v>
      </c>
      <c r="C12" s="8" t="n">
        <v>197619</v>
      </c>
      <c r="D12" s="9">
        <f>IFERROR(B12/C12,"")</f>
        <v/>
      </c>
      <c r="E12" s="8" t="n">
        <v>1178</v>
      </c>
    </row>
    <row r="13">
      <c r="A13" s="4" t="inlineStr">
        <is>
          <t>Jun 2026</t>
        </is>
      </c>
      <c r="B13" s="5" t="n">
        <v>7893</v>
      </c>
      <c r="C13" s="5" t="n">
        <v>196083</v>
      </c>
      <c r="D13" s="6">
        <f>IFERROR(B13/C13,"")</f>
        <v/>
      </c>
      <c r="E13" s="5" t="n">
        <v>1170</v>
      </c>
    </row>
    <row r="14">
      <c r="A14" s="7" t="inlineStr">
        <is>
          <t>Jul 2026</t>
        </is>
      </c>
      <c r="B14" s="8" t="n">
        <v>8728</v>
      </c>
      <c r="C14" s="8" t="n">
        <v>189658</v>
      </c>
      <c r="D14" s="9">
        <f>IFERROR(B14/C14,"")</f>
        <v/>
      </c>
      <c r="E14" s="8" t="n">
        <v>1319</v>
      </c>
    </row>
    <row r="15">
      <c r="A15" s="4" t="inlineStr">
        <is>
          <t>Aug 2026</t>
        </is>
      </c>
      <c r="B15" s="5" t="n">
        <v>8598</v>
      </c>
      <c r="C15" s="5" t="n">
        <v>179118</v>
      </c>
      <c r="D15" s="6">
        <f>IFERROR(B15/C15,"")</f>
        <v/>
      </c>
      <c r="E15" s="5" t="n">
        <v>1115</v>
      </c>
    </row>
    <row r="16">
      <c r="A16" s="7" t="inlineStr">
        <is>
          <t>Sep 2026</t>
        </is>
      </c>
      <c r="B16" s="8" t="n">
        <v>1567</v>
      </c>
      <c r="C16" s="8" t="n">
        <v>31675</v>
      </c>
      <c r="D16" s="9">
        <f>IFERROR(B16/C16,"")</f>
        <v/>
      </c>
      <c r="E16" s="8" t="n">
        <v>249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6" t="inlineStr">
        <is>
          <t>Metric</t>
        </is>
      </c>
      <c r="B1" s="16" t="inlineStr">
        <is>
          <t>This Month</t>
        </is>
      </c>
      <c r="C1" s="16" t="inlineStr">
        <is>
          <t>Last Month</t>
        </is>
      </c>
      <c r="D1" s="16" t="inlineStr">
        <is>
          <t>Month YOY</t>
        </is>
      </c>
      <c r="E1" s="16" t="inlineStr">
        <is>
          <t>This Quarter</t>
        </is>
      </c>
      <c r="F1" s="16" t="inlineStr">
        <is>
          <t>Last Quarter</t>
        </is>
      </c>
      <c r="G1" s="16" t="inlineStr">
        <is>
          <t>Quarterly YOY</t>
        </is>
      </c>
      <c r="H1" s="16" t="inlineStr">
        <is>
          <t>% M/M</t>
        </is>
      </c>
      <c r="I1" s="16" t="inlineStr">
        <is>
          <t>% Q/Q</t>
        </is>
      </c>
      <c r="J1" s="16" t="inlineStr">
        <is>
          <t>% M YOY</t>
        </is>
      </c>
      <c r="K1" s="16" t="inlineStr">
        <is>
          <t>% Q YOY</t>
        </is>
      </c>
    </row>
    <row r="2">
      <c r="A2" t="inlineStr">
        <is>
          <t>Users</t>
        </is>
      </c>
      <c r="B2" t="n">
        <v>58413</v>
      </c>
      <c r="C2" t="n">
        <v>68718</v>
      </c>
      <c r="D2" t="n">
        <v>25463</v>
      </c>
      <c r="E2" t="n">
        <v>185513</v>
      </c>
      <c r="F2" t="n">
        <v>167433</v>
      </c>
      <c r="G2" t="n">
        <v>70139</v>
      </c>
      <c r="H2" t="n">
        <v>-0.149961</v>
      </c>
      <c r="I2" t="n">
        <v>0.107983</v>
      </c>
      <c r="J2" t="n">
        <v>1.294034</v>
      </c>
      <c r="K2" t="n">
        <v>1.644934</v>
      </c>
    </row>
    <row r="3">
      <c r="A3" t="inlineStr">
        <is>
          <t>Organic Users</t>
        </is>
      </c>
      <c r="B3" t="n">
        <v>6510</v>
      </c>
      <c r="C3" t="n">
        <v>7141</v>
      </c>
      <c r="D3" t="n">
        <v>7936</v>
      </c>
      <c r="E3" t="n">
        <v>19306</v>
      </c>
      <c r="F3" t="n">
        <v>17394</v>
      </c>
      <c r="G3" t="n">
        <v>21153</v>
      </c>
      <c r="H3" t="n">
        <v>-0.088363</v>
      </c>
      <c r="I3" t="n">
        <v>0.109923</v>
      </c>
      <c r="J3" t="n">
        <v>-0.179688</v>
      </c>
      <c r="K3" t="n">
        <v>-0.087316</v>
      </c>
    </row>
    <row r="4">
      <c r="A4" t="inlineStr">
        <is>
          <t>Direct Users</t>
        </is>
      </c>
      <c r="B4" t="n">
        <v>8658</v>
      </c>
      <c r="C4" t="n">
        <v>10037</v>
      </c>
      <c r="D4" t="n">
        <v>9312</v>
      </c>
      <c r="E4" t="n">
        <v>26048</v>
      </c>
      <c r="F4" t="n">
        <v>25284</v>
      </c>
      <c r="G4" t="n">
        <v>25948</v>
      </c>
      <c r="H4" t="n">
        <v>-0.137392</v>
      </c>
      <c r="I4" t="n">
        <v>0.030217</v>
      </c>
      <c r="J4" t="n">
        <v>-0.070232</v>
      </c>
      <c r="K4" t="n">
        <v>0.003854</v>
      </c>
    </row>
    <row r="5">
      <c r="A5" t="inlineStr">
        <is>
          <t>Total Conversions</t>
        </is>
      </c>
      <c r="B5" t="n">
        <v>26042</v>
      </c>
      <c r="C5" t="n">
        <v>26066</v>
      </c>
      <c r="D5" t="n">
        <v>4163</v>
      </c>
      <c r="E5" t="n">
        <v>71949</v>
      </c>
      <c r="F5" t="n">
        <v>54596</v>
      </c>
      <c r="G5" t="n">
        <v>14908</v>
      </c>
      <c r="H5" t="n">
        <v>-0.0009210000000000001</v>
      </c>
      <c r="I5" t="n">
        <v>0.317844</v>
      </c>
      <c r="J5" t="n">
        <v>5.255585</v>
      </c>
      <c r="K5" t="n">
        <v>3.826201</v>
      </c>
    </row>
    <row r="6">
      <c r="A6" t="inlineStr">
        <is>
          <t>Organic Conversions</t>
        </is>
      </c>
      <c r="B6" t="n">
        <v>1115</v>
      </c>
      <c r="C6" t="n">
        <v>1319</v>
      </c>
      <c r="D6" t="n">
        <v>1251</v>
      </c>
      <c r="E6" t="n">
        <v>3604</v>
      </c>
      <c r="F6" t="n">
        <v>3343</v>
      </c>
      <c r="G6" t="n">
        <v>4833</v>
      </c>
      <c r="H6" t="n">
        <v>-0.154663</v>
      </c>
      <c r="I6" t="n">
        <v>0.078074</v>
      </c>
      <c r="J6" t="n">
        <v>-0.108713</v>
      </c>
      <c r="K6" t="n">
        <v>-0.254293</v>
      </c>
    </row>
    <row r="7">
      <c r="A7" t="inlineStr">
        <is>
          <t>Direct Conversions</t>
        </is>
      </c>
      <c r="B7" t="n">
        <v>897</v>
      </c>
      <c r="C7" t="n">
        <v>1046</v>
      </c>
      <c r="D7" t="n">
        <v>1384</v>
      </c>
      <c r="E7" t="n">
        <v>2998</v>
      </c>
      <c r="F7" t="n">
        <v>3177</v>
      </c>
      <c r="G7" t="n">
        <v>5179</v>
      </c>
      <c r="H7" t="n">
        <v>-0.142447</v>
      </c>
      <c r="I7" t="n">
        <v>-0.056342</v>
      </c>
      <c r="J7" t="n">
        <v>-0.351879</v>
      </c>
      <c r="K7" t="n">
        <v>-0.421124</v>
      </c>
    </row>
    <row r="8">
      <c r="A8" s="16" t="inlineStr">
        <is>
          <t>Total Users and Conversions</t>
        </is>
      </c>
      <c r="B8" t="n">
        <v>84455</v>
      </c>
      <c r="C8" t="n">
        <v>94784</v>
      </c>
      <c r="D8" t="n">
        <v>29626</v>
      </c>
      <c r="E8" t="n">
        <v>257462</v>
      </c>
      <c r="F8" t="n">
        <v>222029</v>
      </c>
      <c r="G8" t="n">
        <v>85047</v>
      </c>
      <c r="H8" t="n">
        <v>-0.108974</v>
      </c>
      <c r="I8" t="n">
        <v>0.159587</v>
      </c>
      <c r="J8" t="n">
        <v>1.850705</v>
      </c>
      <c r="K8" t="n">
        <v>2.027291</v>
      </c>
    </row>
    <row r="9">
      <c r="A9" t="inlineStr">
        <is>
          <t>Clicks</t>
        </is>
      </c>
      <c r="B9" t="n">
        <v>8598</v>
      </c>
      <c r="C9" t="n">
        <v>8728</v>
      </c>
      <c r="D9" t="n">
        <v>9492</v>
      </c>
      <c r="E9" t="n">
        <v>25219</v>
      </c>
      <c r="F9" t="n">
        <v>22081</v>
      </c>
      <c r="G9" t="n">
        <v>26042</v>
      </c>
      <c r="H9" t="n">
        <v>-0.014895</v>
      </c>
      <c r="I9" t="n">
        <v>0.142113</v>
      </c>
      <c r="J9" t="n">
        <v>-0.094185</v>
      </c>
      <c r="K9" t="n">
        <v>-0.031603</v>
      </c>
    </row>
    <row r="10">
      <c r="A10" t="inlineStr">
        <is>
          <t>Impressions</t>
        </is>
      </c>
      <c r="B10" t="n">
        <v>179118</v>
      </c>
      <c r="C10" t="n">
        <v>189658</v>
      </c>
      <c r="D10" t="n">
        <v>249207</v>
      </c>
      <c r="E10" t="n">
        <v>564859</v>
      </c>
      <c r="F10" t="n">
        <v>529829</v>
      </c>
      <c r="G10" t="n">
        <v>679054</v>
      </c>
      <c r="H10" t="n">
        <v>-0.055574</v>
      </c>
      <c r="I10" t="n">
        <v>0.06611599999999999</v>
      </c>
      <c r="J10" t="n">
        <v>-0.281248</v>
      </c>
      <c r="K10" t="n">
        <v>-0.168168</v>
      </c>
    </row>
    <row r="12">
      <c r="A12" s="16" t="inlineStr">
        <is>
          <t>Date</t>
        </is>
      </c>
      <c r="B12" s="16" t="inlineStr">
        <is>
          <t>Clicks</t>
        </is>
      </c>
      <c r="C12" s="16" t="inlineStr">
        <is>
          <t>Impressions</t>
        </is>
      </c>
      <c r="D12" s="16" t="inlineStr">
        <is>
          <t>CTR</t>
        </is>
      </c>
      <c r="E12" s="16" t="inlineStr">
        <is>
          <t>Organic Conversions</t>
        </is>
      </c>
    </row>
    <row r="13">
      <c r="A13" t="inlineStr">
        <is>
          <t>Aug 2025</t>
        </is>
      </c>
      <c r="B13" t="n">
        <v>9492</v>
      </c>
      <c r="C13" t="n">
        <v>249207</v>
      </c>
      <c r="D13" t="n">
        <v>0.038089</v>
      </c>
      <c r="E13" t="n">
        <v>1251</v>
      </c>
    </row>
    <row r="14">
      <c r="A14" t="inlineStr">
        <is>
          <t>Sep 2025</t>
        </is>
      </c>
      <c r="B14" t="n">
        <v>9052</v>
      </c>
      <c r="C14" t="n">
        <v>209030</v>
      </c>
      <c r="D14" t="n">
        <v>0.043305</v>
      </c>
      <c r="E14" t="n">
        <v>1854</v>
      </c>
    </row>
    <row r="15">
      <c r="A15" t="inlineStr">
        <is>
          <t>Oct 2025</t>
        </is>
      </c>
      <c r="B15" t="n">
        <v>8244</v>
      </c>
      <c r="C15" t="n">
        <v>179343</v>
      </c>
      <c r="D15" t="n">
        <v>0.045968</v>
      </c>
      <c r="E15" t="n">
        <v>1795</v>
      </c>
    </row>
    <row r="16">
      <c r="A16" t="inlineStr">
        <is>
          <t>Nov 2025</t>
        </is>
      </c>
      <c r="B16" t="n">
        <v>7823</v>
      </c>
      <c r="C16" t="n">
        <v>186957</v>
      </c>
      <c r="D16" t="n">
        <v>0.041844</v>
      </c>
      <c r="E16" t="n">
        <v>1752</v>
      </c>
    </row>
    <row r="17">
      <c r="A17" t="inlineStr">
        <is>
          <t>Dec 2025</t>
        </is>
      </c>
      <c r="B17" t="n">
        <v>7827</v>
      </c>
      <c r="C17" t="n">
        <v>199837</v>
      </c>
      <c r="D17" t="n">
        <v>0.039167</v>
      </c>
      <c r="E17" t="n">
        <v>1926</v>
      </c>
    </row>
    <row r="18">
      <c r="A18" t="inlineStr">
        <is>
          <t>Jan 2026</t>
        </is>
      </c>
      <c r="B18" t="n">
        <v>8074</v>
      </c>
      <c r="C18" t="n">
        <v>202521</v>
      </c>
      <c r="D18" t="n">
        <v>0.039867</v>
      </c>
      <c r="E18" t="n">
        <v>1702</v>
      </c>
    </row>
    <row r="19">
      <c r="A19" t="inlineStr">
        <is>
          <t>Feb 2026</t>
        </is>
      </c>
      <c r="B19" t="n">
        <v>7119</v>
      </c>
      <c r="C19" t="n">
        <v>153719</v>
      </c>
      <c r="D19" t="n">
        <v>0.046312</v>
      </c>
      <c r="E19" t="n">
        <v>1707</v>
      </c>
    </row>
    <row r="20">
      <c r="A20" t="inlineStr">
        <is>
          <t>Mar 2026</t>
        </is>
      </c>
      <c r="B20" t="n">
        <v>6794</v>
      </c>
      <c r="C20" t="n">
        <v>165142</v>
      </c>
      <c r="D20" t="n">
        <v>0.04114</v>
      </c>
      <c r="E20" t="n">
        <v>1296</v>
      </c>
    </row>
    <row r="21">
      <c r="A21" t="inlineStr">
        <is>
          <t>Apr 2026</t>
        </is>
      </c>
      <c r="B21" t="n">
        <v>6795</v>
      </c>
      <c r="C21" t="n">
        <v>167068</v>
      </c>
      <c r="D21" t="n">
        <v>0.040672</v>
      </c>
      <c r="E21" t="n">
        <v>869</v>
      </c>
    </row>
    <row r="22">
      <c r="A22" t="inlineStr">
        <is>
          <t>May 2026</t>
        </is>
      </c>
      <c r="B22" t="n">
        <v>8492</v>
      </c>
      <c r="C22" t="n">
        <v>197619</v>
      </c>
      <c r="D22" t="n">
        <v>0.042972</v>
      </c>
      <c r="E22" t="n">
        <v>1178</v>
      </c>
    </row>
    <row r="23">
      <c r="A23" t="inlineStr">
        <is>
          <t>Jun 2026</t>
        </is>
      </c>
      <c r="B23" t="n">
        <v>7893</v>
      </c>
      <c r="C23" t="n">
        <v>196083</v>
      </c>
      <c r="D23" t="n">
        <v>0.040253</v>
      </c>
      <c r="E23" t="n">
        <v>1170</v>
      </c>
    </row>
    <row r="24">
      <c r="A24" t="inlineStr">
        <is>
          <t>Jul 2026</t>
        </is>
      </c>
      <c r="B24" t="n">
        <v>8728</v>
      </c>
      <c r="C24" t="n">
        <v>189658</v>
      </c>
      <c r="D24" t="n">
        <v>0.04602</v>
      </c>
      <c r="E24" t="n">
        <v>1319</v>
      </c>
    </row>
    <row r="25">
      <c r="A25" t="inlineStr">
        <is>
          <t>Aug 2026</t>
        </is>
      </c>
      <c r="B25" t="n">
        <v>8598</v>
      </c>
      <c r="C25" t="n">
        <v>179118</v>
      </c>
      <c r="D25" t="n">
        <v>0.048002</v>
      </c>
      <c r="E25" t="n">
        <v>1115</v>
      </c>
    </row>
    <row r="26">
      <c r="A26" t="inlineStr">
        <is>
          <t>Sep 2026</t>
        </is>
      </c>
      <c r="B26" t="n">
        <v>1567</v>
      </c>
      <c r="C26" t="n">
        <v>31675</v>
      </c>
      <c r="D26" t="n">
        <v>0.049471</v>
      </c>
      <c r="E26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2026-09-08T06:25:52Z</dcterms:created>
  <dcterms:modified xmlns:dcterms="http://purl.org/dc/terms/" xmlns:xsi="http://www.w3.org/2001/XMLSchema-instance" xsi:type="dcterms:W3CDTF">2026-09-08T06:25:52Z</dcterms:modified>
</cp:coreProperties>
</file>